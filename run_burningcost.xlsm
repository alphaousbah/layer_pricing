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69F81662-4B12-43FE-917A-3F1D6F878629}" xr6:coauthVersionLast="47" xr6:coauthVersionMax="47" xr10:uidLastSave="{00000000-0000-0000-0000-000000000000}"/>
  <bookViews>
    <workbookView xWindow="-120" yWindow="-120" windowWidth="20730" windowHeight="11040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6" i="1"/>
  <c r="AB5" i="3"/>
  <c r="AB6" i="3"/>
  <c r="S5" i="3"/>
  <c r="S6" i="3"/>
  <c r="C5" i="3"/>
  <c r="C6" i="3"/>
</calcChain>
</file>

<file path=xl/sharedStrings.xml><?xml version="1.0" encoding="utf-8"?>
<sst xmlns="http://schemas.openxmlformats.org/spreadsheetml/2006/main" count="119" uniqueCount="43">
  <si>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</si>
  <si>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</si>
  <si>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</si>
  <si>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</si>
  <si>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</si>
  <si>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</si>
  <si>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</si>
  <si>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</si>
  <si>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</si>
  <si>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</si>
  <si>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</si>
  <si>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</si>
  <si>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</si>
  <si>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</si>
  <si>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</si>
  <si>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</si>
  <si>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</si>
  <si>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</si>
  <si>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</si>
  <si>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</si>
  <si>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</si>
  <si>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</si>
  <si>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</si>
  <si>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</si>
  <si>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</si>
  <si>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</si>
  <si>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</si>
  <si>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</si>
  <si>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</si>
  <si>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</si>
  <si>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</si>
  <si>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</si>
  <si>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</si>
  <si>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</si>
  <si>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</si>
  <si>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</si>
  <si>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</si>
  <si>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</si>
  <si>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</si>
  <si>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as_is</t>
  </si>
  <si>
    <t>as_if</t>
  </si>
  <si>
    <t>ceded_loss_count</t>
  </si>
  <si>
    <t>year_selected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</si>
</sst>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1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0" borderId="0" xfId="0" applyAlignment="1"/>
    <xf numFmtId="3" fontId="0" fillId="0" borderId="0" xfId="0" applyNumberFormat="1" applyAlignment="1"/>
    <xf numFmtId="0" fontId="0" fillId="0" borderId="0" xfId="0" applyNumberFormat="1" applyAlignment="1"/>
    <xf numFmtId="0" fontId="0" fillId="0" borderId="0" xfId="0" applyFont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6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</font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11</xdr:col>
      <xdr:colOff>142875</xdr:colOff>
      <xdr:row>3</xdr:row>
      <xdr:rowOff>152400</xdr:rowOff>
    </xdr:to>
    <xdr:sp macro="[0]!run_burningcost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7667626" y="533400"/>
          <a:ext cx="133349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66" dataDxfId="65">
  <autoFilter ref="E4:J7" xr:uid="{5CA847B2-8EE7-45AB-94C5-0AE46A156B0B}"/>
  <tableColumns count="6">
    <tableColumn id="1" xr3:uid="{CF13CAE3-0525-4B5A-A1EB-26A42E5C0AD1}" name="id" dataDxfId="64"/>
    <tableColumn id="2" xr3:uid="{22730DAD-7D3E-4E1E-9000-E729F9830C9E}" name="occ_limit" dataDxfId="63"/>
    <tableColumn id="3" xr3:uid="{F30FE157-BE84-44B8-8A79-90474A97D7DB}" name="occ_deduct" dataDxfId="62"/>
    <tableColumn id="4" xr3:uid="{04B2A8E0-9074-45A5-B6B6-00EA2900A7A0}" name="agg_limit" dataDxfId="61"/>
    <tableColumn id="5" xr3:uid="{6920C143-D579-4302-84A3-7895CA475137}" name="agg_deduct" dataDxfId="60"/>
    <tableColumn id="6" xr3:uid="{2B01325C-8ED5-489C-B2BC-AC94E0C84833}" name="analysis_id" dataDxfId="5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6" totalsRowShown="0" headerRowDxfId="58" dataDxfId="57">
  <autoFilter ref="L4:P6" xr:uid="{E6CEA747-12D0-4F26-9896-62CAC79FF787}"/>
  <tableColumns count="5">
    <tableColumn id="1" xr3:uid="{9A0FF13B-E4E3-46E1-9797-91DC9D859FC1}" name="id" dataDxfId="56"/>
    <tableColumn id="2" xr3:uid="{70FD2BF7-3C15-466B-9DE0-383CAC3F4D19}" name="order" dataDxfId="55"/>
    <tableColumn id="3" xr3:uid="{5DDE2FC8-050F-4A4E-A683-17406677D1DB}" name="number" dataDxfId="54"/>
    <tableColumn id="4" xr3:uid="{1A8EE152-37C7-4DF5-8B47-0C47B1952785}" name="rate" dataDxfId="53"/>
    <tableColumn id="6" xr3:uid="{2FFCEF7B-D267-42A6-91DB-6FDAED53BCB6}" name="layer_id" dataDxfId="5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51" dataDxfId="50">
  <autoFilter ref="R4:S6" xr:uid="{C8B2763D-41E9-4574-91E0-8F50452D419F}"/>
  <tableColumns count="2">
    <tableColumn id="1" xr3:uid="{C5150EC8-3CBF-4E25-AFEC-0A0B6379C9CD}" name="id" dataDxfId="49"/>
    <tableColumn id="2" xr3:uid="{6F9D29DB-4497-498E-8A67-F977A635036D}" name="name" dataDxfId="48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47" dataDxfId="46">
  <autoFilter ref="AA4:AD6" xr:uid="{DF95DD34-1195-4F2C-A40E-953A82F23E46}"/>
  <tableColumns count="4">
    <tableColumn id="1" xr3:uid="{D40E0076-AC60-4248-9E8F-9C1E4BD9230A}" name="id" dataDxfId="45"/>
    <tableColumn id="2" xr3:uid="{4883908E-7BBE-45F6-AC43-B36996751863}" name="name" dataDxfId="44">
      <calculatedColumnFormula>$AA$2&amp;" "&amp;AA5</calculatedColumnFormula>
    </tableColumn>
    <tableColumn id="3" xr3:uid="{B2DD1069-C726-4FB8-B7F8-3B1AF132DB9C}" name="start_year" dataDxfId="43"/>
    <tableColumn id="4" xr3:uid="{50D92FF8-FB20-470E-BE51-5F275E953495}" name="end_year" dataDxfId="4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25" totalsRowShown="0" headerRowDxfId="41" dataDxfId="40">
  <autoFilter ref="U4:Y25" xr:uid="{87547E15-6F23-48DB-988E-A806F8C28BA4}"/>
  <tableColumns count="5">
    <tableColumn id="1" xr3:uid="{9EC646F6-1AC2-4625-AC2E-04455487C54D}" name="id" dataDxfId="39"/>
    <tableColumn id="4" xr3:uid="{933E5EFA-0993-431F-BF00-036B197C4BA4}" name="year" dataDxfId="38"/>
    <tableColumn id="3" xr3:uid="{02D3956D-C9C0-4CDD-BA90-A15C89CFB121}" name="as_is_premium" dataDxfId="37"/>
    <tableColumn id="2" xr3:uid="{2E3497CD-CD50-4FEC-AEA4-DF06CF05629C}" name="as_if_premium" dataDxfId="21"/>
    <tableColumn id="5" xr3:uid="{1B3EE1F2-40ED-4A47-B51A-960CC6201380}" name="premiumfile_id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4" totalsRowShown="0" headerRowDxfId="36" dataDxfId="35">
  <autoFilter ref="AF4:AJ24" xr:uid="{E3D0BCED-596B-4DEA-97D5-56A00B47D385}"/>
  <tableColumns count="5">
    <tableColumn id="1" xr3:uid="{7C648F2E-1333-42B0-BA4F-C7EF93F4DE48}" name="id" dataDxfId="34"/>
    <tableColumn id="2" xr3:uid="{2EC76378-EF9D-4A9C-B27F-8CD8943B00DE}" name="year" dataDxfId="33"/>
    <tableColumn id="3" xr3:uid="{716D9C8F-C9CE-47C1-A518-507B1A096139}" name="as_is_loss" dataDxfId="32"/>
    <tableColumn id="4" xr3:uid="{73684E65-D95F-488E-B234-FE348A88CD6A}" name="as_if_loss" dataDxfId="31"/>
    <tableColumn id="5" xr3:uid="{2E57A992-A0F9-4533-AC54-134DC62818BA}" name="lossfile_id" dataDxfId="3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29" dataDxfId="28">
  <autoFilter ref="B4:C6" xr:uid="{171B8AB5-3C97-4AA2-809A-4315CC95ACFB}"/>
  <tableColumns count="2">
    <tableColumn id="1" xr3:uid="{1865AD12-620D-4781-9E1F-A64D9239EC69}" name="id" dataDxfId="27"/>
    <tableColumn id="2" xr3:uid="{05AE99FD-6447-4792-82B7-9CD0C874628F}" name="name" dataDxfId="26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7" totalsRowShown="0" headerRowDxfId="25">
  <autoFilter ref="E4:F7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24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K64" headerRowDxfId="23" dataDxfId="22">
  <autoFilter ref="B4:K64" xr:uid="{B03F1A5E-F6B1-4C5C-821E-A493D22773F8}"/>
  <tableColumns count="10">
    <tableColumn id="2" xr3:uid="{83403BE3-4F9B-40B4-993F-030D4283AAE6}" name="id" dataDxfId="10" totalsRowDxfId="0"/>
    <tableColumn id="3" xr3:uid="{8F29F1A9-C05D-48F5-883F-C46E7516E5E2}" name="basis" dataDxfId="11" totalsRowDxfId="1"/>
    <tableColumn id="4" xr3:uid="{DC84343E-C0E5-4BCD-9315-9477E83C05ED}" name="year" dataDxfId="12" totalsRowDxfId="2"/>
    <tableColumn id="6" xr3:uid="{7D95AB67-29EE-496D-AEC4-E96DA72A34D5}" name="year_selected" dataDxfId="13" totalsRowDxfId="3"/>
    <tableColumn id="5" xr3:uid="{7AEE9F5B-30B9-4866-8251-91F3E392A3CB}" name="premium" totalsRowFunction="sum" dataDxfId="14" totalsRowDxfId="4"/>
    <tableColumn id="7" xr3:uid="{31846C6C-C0E4-4258-B7FF-BE8785D2B80C}" name="ceded_before_agg_limits" dataDxfId="15" totalsRowDxfId="5"/>
    <tableColumn id="8" xr3:uid="{6FCAFDAE-8673-423A-BA4B-37795C4D6565}" name="ceded" totalsRowFunction="sum" dataDxfId="16" totalsRowDxfId="6"/>
    <tableColumn id="1" xr3:uid="{EF318399-B458-42FE-AAD1-F6AC7CD67A8F}" name="ceded_loss_count" dataDxfId="17" totalsRowDxfId="7"/>
    <tableColumn id="9" xr3:uid="{52BDE59E-FA8C-4817-A7C3-8CFD50A359E2}" name="reinstated" dataDxfId="18" totalsRowDxfId="8"/>
    <tableColumn id="10" xr3:uid="{26D1C226-68FE-4852-A1BC-136FEB779B3E}" name="layer_id" dataDxfId="19" totalsRowDxfId="9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5"/>
  <sheetViews>
    <sheetView showGridLines="0" tabSelected="1" zoomScaleNormal="100" workbookViewId="0">
      <selection activeCell="F11" sqref="F11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33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25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34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25</v>
      </c>
      <c r="U4" t="s">
        <v>4</v>
      </c>
      <c r="V4" t="s">
        <v>11</v>
      </c>
      <c r="W4" t="s">
        <v>26</v>
      </c>
      <c r="X4" t="s">
        <v>27</v>
      </c>
      <c r="Y4" t="s">
        <v>15</v>
      </c>
      <c r="AA4" t="s">
        <v>4</v>
      </c>
      <c r="AB4" t="s">
        <v>25</v>
      </c>
      <c r="AC4" t="s">
        <v>28</v>
      </c>
      <c r="AD4" t="s">
        <v>29</v>
      </c>
      <c r="AF4" t="s">
        <v>4</v>
      </c>
      <c r="AG4" t="s">
        <v>11</v>
      </c>
      <c r="AH4" t="s">
        <v>30</v>
      </c>
      <c r="AI4" t="s">
        <v>31</v>
      </c>
      <c r="AJ4" t="s">
        <v>32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1700000</v>
      </c>
      <c r="G5" s="3">
        <v>300000</v>
      </c>
      <c r="H5" s="3">
        <v>18700000</v>
      </c>
      <c r="I5" s="3">
        <v>0</v>
      </c>
      <c r="J5" s="3">
        <v>1</v>
      </c>
      <c r="L5">
        <v>1</v>
      </c>
      <c r="M5">
        <v>1</v>
      </c>
      <c r="N5">
        <v>5</v>
      </c>
      <c r="O5" s="4">
        <v>1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2004</v>
      </c>
      <c r="W5" s="3">
        <v>201283240</v>
      </c>
      <c r="X5" s="3">
        <v>286027830</v>
      </c>
      <c r="Y5" s="10">
        <v>1</v>
      </c>
      <c r="AA5">
        <v>1</v>
      </c>
      <c r="AB5" t="str">
        <f t="shared" ref="AB5:AB6" si="2">$AA$2&amp;" "&amp;AA5</f>
        <v>HistoLossFile 1</v>
      </c>
      <c r="AC5">
        <v>2004</v>
      </c>
      <c r="AD5">
        <v>2023</v>
      </c>
      <c r="AF5">
        <v>1</v>
      </c>
      <c r="AG5">
        <v>2008</v>
      </c>
      <c r="AH5" s="3">
        <v>137387087</v>
      </c>
      <c r="AI5" s="3">
        <v>181133455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9500000</v>
      </c>
      <c r="G6" s="3">
        <v>500000</v>
      </c>
      <c r="H6" s="3">
        <v>19000000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1</v>
      </c>
      <c r="P6">
        <v>2</v>
      </c>
      <c r="R6">
        <v>2</v>
      </c>
      <c r="S6" t="str">
        <f t="shared" si="1"/>
        <v>PremiumFile 2</v>
      </c>
      <c r="U6">
        <v>2</v>
      </c>
      <c r="V6">
        <v>2005</v>
      </c>
      <c r="W6" s="3">
        <v>276193430</v>
      </c>
      <c r="X6" s="3">
        <v>385511843</v>
      </c>
      <c r="Y6" s="10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2011</v>
      </c>
      <c r="AH6" s="3">
        <v>63137653</v>
      </c>
      <c r="AI6" s="3">
        <v>79619041</v>
      </c>
      <c r="AJ6">
        <v>1</v>
      </c>
    </row>
    <row r="7" spans="2:36" x14ac:dyDescent="0.2">
      <c r="E7">
        <v>3</v>
      </c>
      <c r="F7" s="3">
        <v>147000</v>
      </c>
      <c r="G7" s="3">
        <v>153000</v>
      </c>
      <c r="H7" s="3">
        <v>1617000</v>
      </c>
      <c r="I7" s="3">
        <v>0</v>
      </c>
      <c r="J7" s="3">
        <v>1</v>
      </c>
      <c r="U7">
        <v>3</v>
      </c>
      <c r="V7">
        <v>2006</v>
      </c>
      <c r="W7" s="3">
        <v>307571420</v>
      </c>
      <c r="X7" s="3">
        <v>421272660</v>
      </c>
      <c r="Y7" s="10">
        <v>1</v>
      </c>
      <c r="AF7">
        <v>3</v>
      </c>
      <c r="AG7">
        <v>2013</v>
      </c>
      <c r="AH7" s="3">
        <v>34331295</v>
      </c>
      <c r="AI7" s="3">
        <v>42151663</v>
      </c>
      <c r="AJ7">
        <v>1</v>
      </c>
    </row>
    <row r="8" spans="2:36" x14ac:dyDescent="0.2">
      <c r="U8">
        <v>4</v>
      </c>
      <c r="V8">
        <v>2007</v>
      </c>
      <c r="W8" s="3">
        <v>300141150</v>
      </c>
      <c r="X8" s="3">
        <v>406319543</v>
      </c>
      <c r="Y8" s="10">
        <v>1</v>
      </c>
      <c r="AF8">
        <v>4</v>
      </c>
      <c r="AG8">
        <v>2021</v>
      </c>
      <c r="AH8" s="3">
        <v>21994590</v>
      </c>
      <c r="AI8" s="3">
        <v>24596971</v>
      </c>
      <c r="AJ8">
        <v>1</v>
      </c>
    </row>
    <row r="9" spans="2:36" x14ac:dyDescent="0.2">
      <c r="U9">
        <v>5</v>
      </c>
      <c r="V9">
        <v>2008</v>
      </c>
      <c r="W9" s="3">
        <v>296577664</v>
      </c>
      <c r="X9" s="3">
        <v>389170581</v>
      </c>
      <c r="Y9" s="10">
        <v>1</v>
      </c>
      <c r="AF9">
        <v>5</v>
      </c>
      <c r="AG9">
        <v>2021</v>
      </c>
      <c r="AH9" s="3">
        <v>17330741</v>
      </c>
      <c r="AI9" s="3">
        <v>19381300</v>
      </c>
      <c r="AJ9">
        <v>1</v>
      </c>
    </row>
    <row r="10" spans="2:36" x14ac:dyDescent="0.2">
      <c r="U10">
        <v>6</v>
      </c>
      <c r="V10">
        <v>2009</v>
      </c>
      <c r="W10" s="3">
        <v>289431486</v>
      </c>
      <c r="X10" s="3">
        <v>380491600</v>
      </c>
      <c r="Y10" s="10">
        <v>1</v>
      </c>
      <c r="AF10">
        <v>6</v>
      </c>
      <c r="AG10">
        <v>2015</v>
      </c>
      <c r="AH10" s="3">
        <v>11879940</v>
      </c>
      <c r="AI10" s="3">
        <v>14276888</v>
      </c>
      <c r="AJ10">
        <v>1</v>
      </c>
    </row>
    <row r="11" spans="2:36" x14ac:dyDescent="0.2">
      <c r="U11">
        <v>7</v>
      </c>
      <c r="V11">
        <v>2010</v>
      </c>
      <c r="W11" s="3">
        <v>276773531</v>
      </c>
      <c r="X11" s="3">
        <v>358872723</v>
      </c>
      <c r="Y11" s="10">
        <v>1</v>
      </c>
      <c r="AF11">
        <v>7</v>
      </c>
      <c r="AG11">
        <v>2023</v>
      </c>
      <c r="AH11" s="3">
        <v>12651470</v>
      </c>
      <c r="AI11" s="3">
        <v>13031080</v>
      </c>
      <c r="AJ11">
        <v>1</v>
      </c>
    </row>
    <row r="12" spans="2:36" x14ac:dyDescent="0.2">
      <c r="U12">
        <v>8</v>
      </c>
      <c r="V12">
        <v>2011</v>
      </c>
      <c r="W12" s="3">
        <v>273649624</v>
      </c>
      <c r="X12" s="3">
        <v>347041487</v>
      </c>
      <c r="Y12" s="10">
        <v>1</v>
      </c>
      <c r="AF12">
        <v>8</v>
      </c>
      <c r="AG12">
        <v>2022</v>
      </c>
      <c r="AH12" s="3">
        <v>12151755</v>
      </c>
      <c r="AI12" s="3">
        <v>13166810</v>
      </c>
      <c r="AJ12">
        <v>1</v>
      </c>
    </row>
    <row r="13" spans="2:36" x14ac:dyDescent="0.2">
      <c r="U13">
        <v>9</v>
      </c>
      <c r="V13">
        <v>2012</v>
      </c>
      <c r="W13" s="3">
        <v>292658125</v>
      </c>
      <c r="X13" s="3">
        <v>363556803</v>
      </c>
      <c r="Y13" s="10">
        <v>1</v>
      </c>
      <c r="AF13">
        <v>9</v>
      </c>
      <c r="AG13">
        <v>2020</v>
      </c>
      <c r="AH13" s="3">
        <v>11680849</v>
      </c>
      <c r="AI13" s="3">
        <v>13276036</v>
      </c>
      <c r="AJ13">
        <v>1</v>
      </c>
    </row>
    <row r="14" spans="2:36" x14ac:dyDescent="0.2">
      <c r="U14">
        <v>10</v>
      </c>
      <c r="V14">
        <v>2013</v>
      </c>
      <c r="W14" s="3">
        <v>322702996</v>
      </c>
      <c r="X14" s="3">
        <v>397428928</v>
      </c>
      <c r="Y14" s="10">
        <v>1</v>
      </c>
      <c r="AF14">
        <v>10</v>
      </c>
      <c r="AG14">
        <v>2017</v>
      </c>
      <c r="AH14" s="3">
        <v>9638622</v>
      </c>
      <c r="AI14" s="3">
        <v>11415020</v>
      </c>
      <c r="AJ14">
        <v>1</v>
      </c>
    </row>
    <row r="15" spans="2:36" x14ac:dyDescent="0.2">
      <c r="U15">
        <v>11</v>
      </c>
      <c r="V15" s="7">
        <v>2014</v>
      </c>
      <c r="W15" s="8">
        <v>274643006</v>
      </c>
      <c r="X15" s="8">
        <v>336762741</v>
      </c>
      <c r="Y15" s="10">
        <v>1</v>
      </c>
      <c r="AF15">
        <v>11</v>
      </c>
      <c r="AG15">
        <v>2016</v>
      </c>
      <c r="AH15" s="3">
        <v>8499442</v>
      </c>
      <c r="AI15" s="3">
        <v>10148849</v>
      </c>
      <c r="AJ15">
        <v>1</v>
      </c>
    </row>
    <row r="16" spans="2:36" x14ac:dyDescent="0.2">
      <c r="U16">
        <v>12</v>
      </c>
      <c r="V16" s="7">
        <v>2015</v>
      </c>
      <c r="W16" s="8">
        <v>299892365</v>
      </c>
      <c r="X16" s="8">
        <v>367551190</v>
      </c>
      <c r="Y16" s="10">
        <v>1</v>
      </c>
      <c r="AF16">
        <v>12</v>
      </c>
      <c r="AG16">
        <v>2020</v>
      </c>
      <c r="AH16" s="3">
        <v>8613549</v>
      </c>
      <c r="AI16" s="3">
        <v>9789852</v>
      </c>
      <c r="AJ16">
        <v>1</v>
      </c>
    </row>
    <row r="17" spans="21:36" x14ac:dyDescent="0.2">
      <c r="U17">
        <v>13</v>
      </c>
      <c r="V17" s="7">
        <v>2016</v>
      </c>
      <c r="W17" s="8">
        <v>241669290</v>
      </c>
      <c r="X17" s="8">
        <v>295515072</v>
      </c>
      <c r="Y17" s="10">
        <v>1</v>
      </c>
      <c r="AF17">
        <v>13</v>
      </c>
      <c r="AG17">
        <v>2021</v>
      </c>
      <c r="AH17" s="3">
        <v>8672391</v>
      </c>
      <c r="AI17" s="3">
        <v>9698501</v>
      </c>
      <c r="AJ17">
        <v>1</v>
      </c>
    </row>
    <row r="18" spans="21:36" x14ac:dyDescent="0.2">
      <c r="U18">
        <v>14</v>
      </c>
      <c r="V18" s="7">
        <v>2017</v>
      </c>
      <c r="W18" s="8">
        <v>249900505</v>
      </c>
      <c r="X18" s="8">
        <v>302840310</v>
      </c>
      <c r="Y18" s="10">
        <v>1</v>
      </c>
      <c r="AF18">
        <v>14</v>
      </c>
      <c r="AG18">
        <v>2015</v>
      </c>
      <c r="AH18" s="3">
        <v>7491750</v>
      </c>
      <c r="AI18" s="3">
        <v>9003318</v>
      </c>
      <c r="AJ18">
        <v>1</v>
      </c>
    </row>
    <row r="19" spans="21:36" x14ac:dyDescent="0.2">
      <c r="U19">
        <v>15</v>
      </c>
      <c r="V19" s="7">
        <v>2018</v>
      </c>
      <c r="W19" s="8">
        <v>275282065</v>
      </c>
      <c r="X19" s="8">
        <v>326237630</v>
      </c>
      <c r="Y19" s="10">
        <v>1</v>
      </c>
      <c r="AF19">
        <v>15</v>
      </c>
      <c r="AG19">
        <v>2014</v>
      </c>
      <c r="AH19" s="3">
        <v>7376162</v>
      </c>
      <c r="AI19" s="3">
        <v>8946868</v>
      </c>
      <c r="AJ19">
        <v>1</v>
      </c>
    </row>
    <row r="20" spans="21:36" x14ac:dyDescent="0.2">
      <c r="U20">
        <v>16</v>
      </c>
      <c r="V20" s="7">
        <v>2019</v>
      </c>
      <c r="W20" s="8">
        <v>288082050</v>
      </c>
      <c r="X20" s="8">
        <v>337890629</v>
      </c>
      <c r="Y20" s="10">
        <v>1</v>
      </c>
      <c r="AF20">
        <v>16</v>
      </c>
      <c r="AG20">
        <v>2015</v>
      </c>
      <c r="AH20" s="3">
        <v>7000241</v>
      </c>
      <c r="AI20" s="3">
        <v>8412639</v>
      </c>
      <c r="AJ20">
        <v>1</v>
      </c>
    </row>
    <row r="21" spans="21:36" x14ac:dyDescent="0.2">
      <c r="U21">
        <v>17</v>
      </c>
      <c r="V21" s="7">
        <v>2020</v>
      </c>
      <c r="W21" s="8">
        <v>291313078</v>
      </c>
      <c r="X21" s="8">
        <v>340932491</v>
      </c>
      <c r="Y21" s="10">
        <v>1</v>
      </c>
      <c r="AF21">
        <v>17</v>
      </c>
      <c r="AG21">
        <v>2016</v>
      </c>
      <c r="AH21" s="3">
        <v>6059190</v>
      </c>
      <c r="AI21" s="3">
        <v>7235040</v>
      </c>
      <c r="AJ21">
        <v>1</v>
      </c>
    </row>
    <row r="22" spans="21:36" x14ac:dyDescent="0.2">
      <c r="U22">
        <v>18</v>
      </c>
      <c r="V22" s="7">
        <v>2021</v>
      </c>
      <c r="W22" s="8">
        <v>224837862</v>
      </c>
      <c r="X22" s="8">
        <v>258316755</v>
      </c>
      <c r="Y22" s="10">
        <v>1</v>
      </c>
      <c r="AF22">
        <v>18</v>
      </c>
      <c r="AG22">
        <v>2016</v>
      </c>
      <c r="AH22" s="3">
        <v>5963666</v>
      </c>
      <c r="AI22" s="3">
        <v>7120979</v>
      </c>
      <c r="AJ22">
        <v>1</v>
      </c>
    </row>
    <row r="23" spans="21:36" x14ac:dyDescent="0.2">
      <c r="U23">
        <v>19</v>
      </c>
      <c r="V23" s="7">
        <v>2022</v>
      </c>
      <c r="W23" s="8">
        <v>223171822</v>
      </c>
      <c r="X23" s="8">
        <v>246059187</v>
      </c>
      <c r="Y23" s="10">
        <v>1</v>
      </c>
      <c r="AF23">
        <v>19</v>
      </c>
      <c r="AG23">
        <v>2017</v>
      </c>
      <c r="AH23" s="3">
        <v>5850000</v>
      </c>
      <c r="AI23" s="3">
        <v>6928155</v>
      </c>
      <c r="AJ23">
        <v>1</v>
      </c>
    </row>
    <row r="24" spans="21:36" x14ac:dyDescent="0.2">
      <c r="U24">
        <v>20</v>
      </c>
      <c r="V24" s="7">
        <v>2023</v>
      </c>
      <c r="W24" s="8">
        <v>240000000</v>
      </c>
      <c r="X24" s="8">
        <v>250808055</v>
      </c>
      <c r="Y24" s="10">
        <v>1</v>
      </c>
      <c r="AF24">
        <v>20</v>
      </c>
      <c r="AG24">
        <v>2018</v>
      </c>
      <c r="AH24" s="3">
        <v>4906000</v>
      </c>
      <c r="AI24" s="3">
        <v>5729956</v>
      </c>
      <c r="AJ24">
        <v>1</v>
      </c>
    </row>
    <row r="25" spans="21:36" x14ac:dyDescent="0.2">
      <c r="U25">
        <v>21</v>
      </c>
      <c r="V25" s="7">
        <v>2024</v>
      </c>
      <c r="W25" s="8">
        <v>290000000</v>
      </c>
      <c r="X25" s="8">
        <v>290000000</v>
      </c>
      <c r="Y25" s="10">
        <v>1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>
      <selection activeCell="F9" sqref="F9"/>
    </sheetView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35</v>
      </c>
      <c r="E2" s="1" t="s">
        <v>14</v>
      </c>
      <c r="H2" s="1" t="s">
        <v>16</v>
      </c>
    </row>
    <row r="4" spans="2:9" x14ac:dyDescent="0.2">
      <c r="B4" s="6" t="s">
        <v>34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36</v>
      </c>
      <c r="C6" s="5">
        <f>MIN(Premium[year],HistoLossFile[start_year])</f>
        <v>2004</v>
      </c>
      <c r="E6">
        <v>2</v>
      </c>
      <c r="F6">
        <v>1</v>
      </c>
      <c r="H6">
        <v>1</v>
      </c>
      <c r="I6">
        <v>2</v>
      </c>
    </row>
    <row r="7" spans="2:9" x14ac:dyDescent="0.2">
      <c r="B7" s="6" t="s">
        <v>37</v>
      </c>
      <c r="C7" s="5">
        <f>MAX(Premium[year],HistoLossFile[end_year])</f>
        <v>2024</v>
      </c>
      <c r="E7">
        <v>3</v>
      </c>
      <c r="F7">
        <v>1</v>
      </c>
      <c r="H7">
        <v>2</v>
      </c>
      <c r="I7">
        <v>1</v>
      </c>
    </row>
    <row r="8" spans="2:9" x14ac:dyDescent="0.2">
      <c r="H8">
        <v>3</v>
      </c>
      <c r="I8">
        <v>1</v>
      </c>
    </row>
    <row r="9" spans="2:9" x14ac:dyDescent="0.2">
      <c r="B9" s="6" t="s">
        <v>28</v>
      </c>
      <c r="C9" s="2">
        <v>2014</v>
      </c>
    </row>
    <row r="10" spans="2:9" x14ac:dyDescent="0.2">
      <c r="B10" s="6" t="s">
        <v>29</v>
      </c>
      <c r="C10" s="2">
        <v>2023</v>
      </c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K64"/>
  <sheetViews>
    <sheetView showGridLines="0" workbookViewId="0">
      <selection activeCell="I10" sqref="I10"/>
    </sheetView>
  </sheetViews>
  <sheetFormatPr defaultColWidth="11.42578125" defaultRowHeight="12.75" x14ac:dyDescent="0.2"/>
  <cols>
    <col min="2" max="2" width="6.85546875" customWidth="1"/>
    <col min="3" max="3" width="7" bestFit="1" customWidth="1"/>
    <col min="4" max="4" width="6.7109375" bestFit="1" customWidth="1"/>
    <col min="5" max="5" width="14.140625" bestFit="1" customWidth="1"/>
    <col min="6" max="6" width="12.28515625" bestFit="1" customWidth="1"/>
    <col min="7" max="7" width="23" bestFit="1" customWidth="1"/>
    <col min="8" max="8" width="10.85546875" bestFit="1" customWidth="1"/>
    <col min="9" max="9" width="17.140625" bestFit="1" customWidth="1"/>
    <col min="10" max="10" width="11.42578125" bestFit="1" customWidth="1"/>
    <col min="11" max="11" width="9.42578125" bestFit="1" customWidth="1"/>
  </cols>
  <sheetData>
    <row r="2" spans="2:11" ht="23.25" x14ac:dyDescent="0.35">
      <c r="B2" s="1" t="s">
        <v>22</v>
      </c>
    </row>
    <row r="4" spans="2:11" x14ac:dyDescent="0.2">
      <c r="B4" t="s">
        <v>4</v>
      </c>
      <c r="C4" t="s">
        <v>38</v>
      </c>
      <c r="D4" t="s">
        <v>11</v>
      </c>
      <c r="E4" t="s">
        <v>42</v>
      </c>
      <c r="F4" t="s">
        <v>23</v>
      </c>
      <c r="G4" t="s">
        <v>24</v>
      </c>
      <c r="H4" t="s">
        <v>12</v>
      </c>
      <c r="I4" t="s">
        <v>41</v>
      </c>
      <c r="J4" t="s">
        <v>13</v>
      </c>
      <c r="K4" t="s">
        <v>10</v>
      </c>
    </row>
    <row r="5" spans="2:11" x14ac:dyDescent="0.2">
      <c r="B5" s="9">
        <v>1</v>
      </c>
      <c r="C5" s="9" t="s">
        <v>39</v>
      </c>
      <c r="D5" s="9">
        <v>2014</v>
      </c>
      <c r="E5" s="9" t="b">
        <v>1</v>
      </c>
      <c r="F5" s="8">
        <v>274643006</v>
      </c>
      <c r="G5" s="8">
        <v>1700000</v>
      </c>
      <c r="H5" s="8">
        <v>1700000</v>
      </c>
      <c r="I5" s="8">
        <v>1</v>
      </c>
      <c r="J5" s="8">
        <v>1700000</v>
      </c>
      <c r="K5" s="9">
        <v>1</v>
      </c>
    </row>
    <row r="6" spans="2:11" x14ac:dyDescent="0.2">
      <c r="B6" s="9">
        <v>2</v>
      </c>
      <c r="C6" s="9" t="s">
        <v>39</v>
      </c>
      <c r="D6" s="9">
        <v>2015</v>
      </c>
      <c r="E6" s="9" t="b">
        <v>1</v>
      </c>
      <c r="F6" s="8">
        <v>299892365</v>
      </c>
      <c r="G6" s="8">
        <v>5100000</v>
      </c>
      <c r="H6" s="8">
        <v>5100000</v>
      </c>
      <c r="I6" s="8">
        <v>3</v>
      </c>
      <c r="J6" s="8">
        <v>5100000</v>
      </c>
      <c r="K6" s="9">
        <v>1</v>
      </c>
    </row>
    <row r="7" spans="2:11" x14ac:dyDescent="0.2">
      <c r="B7" s="9">
        <v>3</v>
      </c>
      <c r="C7" s="9" t="s">
        <v>39</v>
      </c>
      <c r="D7" s="9">
        <v>2016</v>
      </c>
      <c r="E7" s="9" t="b">
        <v>1</v>
      </c>
      <c r="F7" s="8">
        <v>241669290</v>
      </c>
      <c r="G7" s="8">
        <v>5100000</v>
      </c>
      <c r="H7" s="8">
        <v>5100000</v>
      </c>
      <c r="I7" s="8">
        <v>3</v>
      </c>
      <c r="J7" s="8">
        <v>5100000</v>
      </c>
      <c r="K7" s="9">
        <v>1</v>
      </c>
    </row>
    <row r="8" spans="2:11" x14ac:dyDescent="0.2">
      <c r="B8" s="9">
        <v>4</v>
      </c>
      <c r="C8" s="9" t="s">
        <v>39</v>
      </c>
      <c r="D8" s="9">
        <v>2017</v>
      </c>
      <c r="E8" s="9" t="b">
        <v>1</v>
      </c>
      <c r="F8" s="8">
        <v>249900505</v>
      </c>
      <c r="G8" s="8">
        <v>3400000</v>
      </c>
      <c r="H8" s="8">
        <v>3400000</v>
      </c>
      <c r="I8" s="8">
        <v>2</v>
      </c>
      <c r="J8" s="8">
        <v>3400000</v>
      </c>
      <c r="K8" s="9">
        <v>1</v>
      </c>
    </row>
    <row r="9" spans="2:11" x14ac:dyDescent="0.2">
      <c r="B9" s="9">
        <v>5</v>
      </c>
      <c r="C9" s="9" t="s">
        <v>39</v>
      </c>
      <c r="D9" s="9">
        <v>2018</v>
      </c>
      <c r="E9" s="9" t="b">
        <v>1</v>
      </c>
      <c r="F9" s="8">
        <v>275282065</v>
      </c>
      <c r="G9" s="8">
        <v>1700000</v>
      </c>
      <c r="H9" s="8">
        <v>1700000</v>
      </c>
      <c r="I9" s="8">
        <v>1</v>
      </c>
      <c r="J9" s="8">
        <v>1700000</v>
      </c>
      <c r="K9" s="9">
        <v>1</v>
      </c>
    </row>
    <row r="10" spans="2:11" x14ac:dyDescent="0.2">
      <c r="B10" s="9">
        <v>6</v>
      </c>
      <c r="C10" s="9" t="s">
        <v>39</v>
      </c>
      <c r="D10" s="9">
        <v>2019</v>
      </c>
      <c r="E10" s="9" t="b">
        <v>1</v>
      </c>
      <c r="F10" s="8">
        <v>288082050</v>
      </c>
      <c r="G10" s="8">
        <v>0</v>
      </c>
      <c r="H10" s="8">
        <v>0</v>
      </c>
      <c r="I10" s="8">
        <v>0</v>
      </c>
      <c r="J10" s="8">
        <v>0</v>
      </c>
      <c r="K10" s="9">
        <v>1</v>
      </c>
    </row>
    <row r="11" spans="2:11" x14ac:dyDescent="0.2">
      <c r="B11" s="9">
        <v>7</v>
      </c>
      <c r="C11" s="9" t="s">
        <v>39</v>
      </c>
      <c r="D11" s="9">
        <v>2020</v>
      </c>
      <c r="E11" s="9" t="b">
        <v>1</v>
      </c>
      <c r="F11" s="8">
        <v>291313078</v>
      </c>
      <c r="G11" s="8">
        <v>3400000</v>
      </c>
      <c r="H11" s="8">
        <v>3400000</v>
      </c>
      <c r="I11" s="8">
        <v>2</v>
      </c>
      <c r="J11" s="8">
        <v>3400000</v>
      </c>
      <c r="K11" s="9">
        <v>1</v>
      </c>
    </row>
    <row r="12" spans="2:11" x14ac:dyDescent="0.2">
      <c r="B12" s="9">
        <v>8</v>
      </c>
      <c r="C12" s="9" t="s">
        <v>39</v>
      </c>
      <c r="D12" s="9">
        <v>2021</v>
      </c>
      <c r="E12" s="9" t="b">
        <v>1</v>
      </c>
      <c r="F12" s="8">
        <v>224837862</v>
      </c>
      <c r="G12" s="8">
        <v>5100000</v>
      </c>
      <c r="H12" s="8">
        <v>5100000</v>
      </c>
      <c r="I12" s="8">
        <v>3</v>
      </c>
      <c r="J12" s="8">
        <v>5100000</v>
      </c>
      <c r="K12" s="9">
        <v>1</v>
      </c>
    </row>
    <row r="13" spans="2:11" x14ac:dyDescent="0.2">
      <c r="B13" s="9">
        <v>9</v>
      </c>
      <c r="C13" s="9" t="s">
        <v>39</v>
      </c>
      <c r="D13" s="9">
        <v>2022</v>
      </c>
      <c r="E13" s="9" t="b">
        <v>1</v>
      </c>
      <c r="F13" s="8">
        <v>223171822</v>
      </c>
      <c r="G13" s="8">
        <v>1700000</v>
      </c>
      <c r="H13" s="8">
        <v>1700000</v>
      </c>
      <c r="I13" s="8">
        <v>1</v>
      </c>
      <c r="J13" s="8">
        <v>1700000</v>
      </c>
      <c r="K13" s="9">
        <v>1</v>
      </c>
    </row>
    <row r="14" spans="2:11" x14ac:dyDescent="0.2">
      <c r="B14" s="9">
        <v>10</v>
      </c>
      <c r="C14" s="9" t="s">
        <v>39</v>
      </c>
      <c r="D14" s="9">
        <v>2023</v>
      </c>
      <c r="E14" s="9" t="b">
        <v>1</v>
      </c>
      <c r="F14" s="8">
        <v>240000000</v>
      </c>
      <c r="G14" s="8">
        <v>1700000</v>
      </c>
      <c r="H14" s="8">
        <v>1700000</v>
      </c>
      <c r="I14" s="8">
        <v>1</v>
      </c>
      <c r="J14" s="8">
        <v>1700000</v>
      </c>
      <c r="K14" s="9">
        <v>1</v>
      </c>
    </row>
    <row r="15" spans="2:11" x14ac:dyDescent="0.2">
      <c r="B15" s="9">
        <v>11</v>
      </c>
      <c r="C15" s="9" t="s">
        <v>40</v>
      </c>
      <c r="D15" s="9">
        <v>2014</v>
      </c>
      <c r="E15" s="9" t="b">
        <v>1</v>
      </c>
      <c r="F15" s="8">
        <v>336762741</v>
      </c>
      <c r="G15" s="8">
        <v>1700000</v>
      </c>
      <c r="H15" s="8">
        <v>1700000</v>
      </c>
      <c r="I15" s="8">
        <v>1</v>
      </c>
      <c r="J15" s="8">
        <v>1700000</v>
      </c>
      <c r="K15" s="9">
        <v>1</v>
      </c>
    </row>
    <row r="16" spans="2:11" x14ac:dyDescent="0.2">
      <c r="B16" s="9">
        <v>12</v>
      </c>
      <c r="C16" s="9" t="s">
        <v>40</v>
      </c>
      <c r="D16" s="9">
        <v>2015</v>
      </c>
      <c r="E16" s="9" t="b">
        <v>1</v>
      </c>
      <c r="F16" s="8">
        <v>367551190</v>
      </c>
      <c r="G16" s="8">
        <v>5100000</v>
      </c>
      <c r="H16" s="8">
        <v>5100000</v>
      </c>
      <c r="I16" s="8">
        <v>3</v>
      </c>
      <c r="J16" s="8">
        <v>5100000</v>
      </c>
      <c r="K16" s="9">
        <v>1</v>
      </c>
    </row>
    <row r="17" spans="2:11" x14ac:dyDescent="0.2">
      <c r="B17" s="9">
        <v>13</v>
      </c>
      <c r="C17" s="9" t="s">
        <v>40</v>
      </c>
      <c r="D17" s="9">
        <v>2016</v>
      </c>
      <c r="E17" s="9" t="b">
        <v>1</v>
      </c>
      <c r="F17" s="8">
        <v>295515072</v>
      </c>
      <c r="G17" s="8">
        <v>5100000</v>
      </c>
      <c r="H17" s="8">
        <v>5100000</v>
      </c>
      <c r="I17" s="8">
        <v>3</v>
      </c>
      <c r="J17" s="8">
        <v>5100000</v>
      </c>
      <c r="K17" s="9">
        <v>1</v>
      </c>
    </row>
    <row r="18" spans="2:11" x14ac:dyDescent="0.2">
      <c r="B18" s="9">
        <v>14</v>
      </c>
      <c r="C18" s="9" t="s">
        <v>40</v>
      </c>
      <c r="D18" s="9">
        <v>2017</v>
      </c>
      <c r="E18" s="9" t="b">
        <v>1</v>
      </c>
      <c r="F18" s="8">
        <v>302840310</v>
      </c>
      <c r="G18" s="8">
        <v>3400000</v>
      </c>
      <c r="H18" s="8">
        <v>3400000</v>
      </c>
      <c r="I18" s="8">
        <v>2</v>
      </c>
      <c r="J18" s="8">
        <v>3400000</v>
      </c>
      <c r="K18" s="9">
        <v>1</v>
      </c>
    </row>
    <row r="19" spans="2:11" x14ac:dyDescent="0.2">
      <c r="B19" s="9">
        <v>15</v>
      </c>
      <c r="C19" s="9" t="s">
        <v>40</v>
      </c>
      <c r="D19" s="9">
        <v>2018</v>
      </c>
      <c r="E19" s="9" t="b">
        <v>1</v>
      </c>
      <c r="F19" s="8">
        <v>326237630</v>
      </c>
      <c r="G19" s="8">
        <v>1700000</v>
      </c>
      <c r="H19" s="8">
        <v>1700000</v>
      </c>
      <c r="I19" s="8">
        <v>1</v>
      </c>
      <c r="J19" s="8">
        <v>1700000</v>
      </c>
      <c r="K19" s="9">
        <v>1</v>
      </c>
    </row>
    <row r="20" spans="2:11" x14ac:dyDescent="0.2">
      <c r="B20" s="9">
        <v>16</v>
      </c>
      <c r="C20" s="9" t="s">
        <v>40</v>
      </c>
      <c r="D20" s="9">
        <v>2019</v>
      </c>
      <c r="E20" s="9" t="b">
        <v>1</v>
      </c>
      <c r="F20" s="8">
        <v>337890629</v>
      </c>
      <c r="G20" s="8">
        <v>0</v>
      </c>
      <c r="H20" s="8">
        <v>0</v>
      </c>
      <c r="I20" s="8">
        <v>0</v>
      </c>
      <c r="J20" s="8">
        <v>0</v>
      </c>
      <c r="K20" s="9">
        <v>1</v>
      </c>
    </row>
    <row r="21" spans="2:11" x14ac:dyDescent="0.2">
      <c r="B21" s="9">
        <v>17</v>
      </c>
      <c r="C21" s="9" t="s">
        <v>40</v>
      </c>
      <c r="D21" s="9">
        <v>2020</v>
      </c>
      <c r="E21" s="9" t="b">
        <v>1</v>
      </c>
      <c r="F21" s="8">
        <v>340932491</v>
      </c>
      <c r="G21" s="8">
        <v>3400000</v>
      </c>
      <c r="H21" s="8">
        <v>3400000</v>
      </c>
      <c r="I21" s="8">
        <v>2</v>
      </c>
      <c r="J21" s="8">
        <v>3400000</v>
      </c>
      <c r="K21" s="9">
        <v>1</v>
      </c>
    </row>
    <row r="22" spans="2:11" x14ac:dyDescent="0.2">
      <c r="B22" s="9">
        <v>18</v>
      </c>
      <c r="C22" s="9" t="s">
        <v>40</v>
      </c>
      <c r="D22" s="9">
        <v>2021</v>
      </c>
      <c r="E22" s="9" t="b">
        <v>1</v>
      </c>
      <c r="F22" s="8">
        <v>258316755</v>
      </c>
      <c r="G22" s="8">
        <v>5100000</v>
      </c>
      <c r="H22" s="8">
        <v>5100000</v>
      </c>
      <c r="I22" s="8">
        <v>3</v>
      </c>
      <c r="J22" s="8">
        <v>5100000</v>
      </c>
      <c r="K22" s="9">
        <v>1</v>
      </c>
    </row>
    <row r="23" spans="2:11" x14ac:dyDescent="0.2">
      <c r="B23" s="9">
        <v>19</v>
      </c>
      <c r="C23" s="9" t="s">
        <v>40</v>
      </c>
      <c r="D23" s="9">
        <v>2022</v>
      </c>
      <c r="E23" s="9" t="b">
        <v>1</v>
      </c>
      <c r="F23" s="8">
        <v>246059187</v>
      </c>
      <c r="G23" s="8">
        <v>1700000</v>
      </c>
      <c r="H23" s="8">
        <v>1700000</v>
      </c>
      <c r="I23" s="8">
        <v>1</v>
      </c>
      <c r="J23" s="8">
        <v>1700000</v>
      </c>
      <c r="K23" s="9">
        <v>1</v>
      </c>
    </row>
    <row r="24" spans="2:11" x14ac:dyDescent="0.2">
      <c r="B24" s="9">
        <v>20</v>
      </c>
      <c r="C24" s="9" t="s">
        <v>40</v>
      </c>
      <c r="D24" s="9">
        <v>2023</v>
      </c>
      <c r="E24" s="9" t="b">
        <v>1</v>
      </c>
      <c r="F24" s="8">
        <v>250808055</v>
      </c>
      <c r="G24" s="8">
        <v>1700000</v>
      </c>
      <c r="H24" s="8">
        <v>1700000</v>
      </c>
      <c r="I24" s="8">
        <v>1</v>
      </c>
      <c r="J24" s="8">
        <v>1700000</v>
      </c>
      <c r="K24" s="9">
        <v>1</v>
      </c>
    </row>
    <row r="25" spans="2:11" x14ac:dyDescent="0.2">
      <c r="B25" s="9">
        <v>21</v>
      </c>
      <c r="C25" s="9" t="s">
        <v>39</v>
      </c>
      <c r="D25" s="9">
        <v>2014</v>
      </c>
      <c r="E25" s="9" t="b">
        <v>1</v>
      </c>
      <c r="F25" s="8">
        <v>274643006</v>
      </c>
      <c r="G25" s="8">
        <v>6876162</v>
      </c>
      <c r="H25" s="8">
        <v>6876162</v>
      </c>
      <c r="I25" s="8">
        <v>1</v>
      </c>
      <c r="J25" s="8">
        <v>6876162</v>
      </c>
      <c r="K25" s="9">
        <v>2</v>
      </c>
    </row>
    <row r="26" spans="2:11" x14ac:dyDescent="0.2">
      <c r="B26" s="9">
        <v>22</v>
      </c>
      <c r="C26" s="9" t="s">
        <v>39</v>
      </c>
      <c r="D26" s="9">
        <v>2015</v>
      </c>
      <c r="E26" s="9" t="b">
        <v>1</v>
      </c>
      <c r="F26" s="8">
        <v>299892365</v>
      </c>
      <c r="G26" s="8">
        <v>22991991</v>
      </c>
      <c r="H26" s="8">
        <v>19000000</v>
      </c>
      <c r="I26" s="8">
        <v>3</v>
      </c>
      <c r="J26" s="8">
        <v>9500000</v>
      </c>
      <c r="K26" s="9">
        <v>2</v>
      </c>
    </row>
    <row r="27" spans="2:11" x14ac:dyDescent="0.2">
      <c r="B27" s="9">
        <v>23</v>
      </c>
      <c r="C27" s="9" t="s">
        <v>39</v>
      </c>
      <c r="D27" s="9">
        <v>2016</v>
      </c>
      <c r="E27" s="9" t="b">
        <v>1</v>
      </c>
      <c r="F27" s="8">
        <v>241669290</v>
      </c>
      <c r="G27" s="8">
        <v>19022298</v>
      </c>
      <c r="H27" s="8">
        <v>19000000</v>
      </c>
      <c r="I27" s="8">
        <v>3</v>
      </c>
      <c r="J27" s="8">
        <v>9500000</v>
      </c>
      <c r="K27" s="9">
        <v>2</v>
      </c>
    </row>
    <row r="28" spans="2:11" x14ac:dyDescent="0.2">
      <c r="B28" s="9">
        <v>24</v>
      </c>
      <c r="C28" s="9" t="s">
        <v>39</v>
      </c>
      <c r="D28" s="9">
        <v>2017</v>
      </c>
      <c r="E28" s="9" t="b">
        <v>1</v>
      </c>
      <c r="F28" s="8">
        <v>249900505</v>
      </c>
      <c r="G28" s="8">
        <v>14488622</v>
      </c>
      <c r="H28" s="8">
        <v>14488622</v>
      </c>
      <c r="I28" s="8">
        <v>2</v>
      </c>
      <c r="J28" s="8">
        <v>9500000</v>
      </c>
      <c r="K28" s="9">
        <v>2</v>
      </c>
    </row>
    <row r="29" spans="2:11" x14ac:dyDescent="0.2">
      <c r="B29" s="9">
        <v>25</v>
      </c>
      <c r="C29" s="9" t="s">
        <v>39</v>
      </c>
      <c r="D29" s="9">
        <v>2018</v>
      </c>
      <c r="E29" s="9" t="b">
        <v>1</v>
      </c>
      <c r="F29" s="8">
        <v>275282065</v>
      </c>
      <c r="G29" s="8">
        <v>4406000</v>
      </c>
      <c r="H29" s="8">
        <v>4406000</v>
      </c>
      <c r="I29" s="8">
        <v>1</v>
      </c>
      <c r="J29" s="8">
        <v>4406000</v>
      </c>
      <c r="K29" s="9">
        <v>2</v>
      </c>
    </row>
    <row r="30" spans="2:11" x14ac:dyDescent="0.2">
      <c r="B30" s="9">
        <v>26</v>
      </c>
      <c r="C30" s="9" t="s">
        <v>39</v>
      </c>
      <c r="D30" s="9">
        <v>2019</v>
      </c>
      <c r="E30" s="9" t="b">
        <v>1</v>
      </c>
      <c r="F30" s="8">
        <v>288082050</v>
      </c>
      <c r="G30" s="8">
        <v>0</v>
      </c>
      <c r="H30" s="8">
        <v>0</v>
      </c>
      <c r="I30" s="8">
        <v>0</v>
      </c>
      <c r="J30" s="8">
        <v>0</v>
      </c>
      <c r="K30" s="9">
        <v>2</v>
      </c>
    </row>
    <row r="31" spans="2:11" x14ac:dyDescent="0.2">
      <c r="B31" s="9">
        <v>27</v>
      </c>
      <c r="C31" s="9" t="s">
        <v>39</v>
      </c>
      <c r="D31" s="9">
        <v>2020</v>
      </c>
      <c r="E31" s="9" t="b">
        <v>1</v>
      </c>
      <c r="F31" s="8">
        <v>291313078</v>
      </c>
      <c r="G31" s="8">
        <v>17613549</v>
      </c>
      <c r="H31" s="8">
        <v>17613549</v>
      </c>
      <c r="I31" s="8">
        <v>2</v>
      </c>
      <c r="J31" s="8">
        <v>9500000</v>
      </c>
      <c r="K31" s="9">
        <v>2</v>
      </c>
    </row>
    <row r="32" spans="2:11" x14ac:dyDescent="0.2">
      <c r="B32" s="9">
        <v>28</v>
      </c>
      <c r="C32" s="9" t="s">
        <v>39</v>
      </c>
      <c r="D32" s="9">
        <v>2021</v>
      </c>
      <c r="E32" s="9" t="b">
        <v>1</v>
      </c>
      <c r="F32" s="8">
        <v>224837862</v>
      </c>
      <c r="G32" s="8">
        <v>27172391</v>
      </c>
      <c r="H32" s="8">
        <v>19000000</v>
      </c>
      <c r="I32" s="8">
        <v>2</v>
      </c>
      <c r="J32" s="8">
        <v>9500000</v>
      </c>
      <c r="K32" s="9">
        <v>2</v>
      </c>
    </row>
    <row r="33" spans="2:11" x14ac:dyDescent="0.2">
      <c r="B33" s="9">
        <v>29</v>
      </c>
      <c r="C33" s="9" t="s">
        <v>39</v>
      </c>
      <c r="D33" s="9">
        <v>2022</v>
      </c>
      <c r="E33" s="9" t="b">
        <v>1</v>
      </c>
      <c r="F33" s="8">
        <v>223171822</v>
      </c>
      <c r="G33" s="8">
        <v>9500000</v>
      </c>
      <c r="H33" s="8">
        <v>9500000</v>
      </c>
      <c r="I33" s="8">
        <v>1</v>
      </c>
      <c r="J33" s="8">
        <v>9500000</v>
      </c>
      <c r="K33" s="9">
        <v>2</v>
      </c>
    </row>
    <row r="34" spans="2:11" x14ac:dyDescent="0.2">
      <c r="B34" s="9">
        <v>30</v>
      </c>
      <c r="C34" s="9" t="s">
        <v>39</v>
      </c>
      <c r="D34" s="9">
        <v>2023</v>
      </c>
      <c r="E34" s="9" t="b">
        <v>1</v>
      </c>
      <c r="F34" s="8">
        <v>240000000</v>
      </c>
      <c r="G34" s="8">
        <v>9500000</v>
      </c>
      <c r="H34" s="8">
        <v>9500000</v>
      </c>
      <c r="I34" s="8">
        <v>1</v>
      </c>
      <c r="J34" s="8">
        <v>9500000</v>
      </c>
      <c r="K34" s="9">
        <v>2</v>
      </c>
    </row>
    <row r="35" spans="2:11" x14ac:dyDescent="0.2">
      <c r="B35" s="9">
        <v>31</v>
      </c>
      <c r="C35" s="9" t="s">
        <v>40</v>
      </c>
      <c r="D35" s="9">
        <v>2014</v>
      </c>
      <c r="E35" s="9" t="b">
        <v>1</v>
      </c>
      <c r="F35" s="8">
        <v>336762741</v>
      </c>
      <c r="G35" s="8">
        <v>8446868</v>
      </c>
      <c r="H35" s="8">
        <v>8446868</v>
      </c>
      <c r="I35" s="8">
        <v>1</v>
      </c>
      <c r="J35" s="8">
        <v>8446868</v>
      </c>
      <c r="K35" s="9">
        <v>2</v>
      </c>
    </row>
    <row r="36" spans="2:11" x14ac:dyDescent="0.2">
      <c r="B36" s="9">
        <v>32</v>
      </c>
      <c r="C36" s="9" t="s">
        <v>40</v>
      </c>
      <c r="D36" s="9">
        <v>2015</v>
      </c>
      <c r="E36" s="9" t="b">
        <v>1</v>
      </c>
      <c r="F36" s="8">
        <v>367551190</v>
      </c>
      <c r="G36" s="8">
        <v>25915957</v>
      </c>
      <c r="H36" s="8">
        <v>19000000</v>
      </c>
      <c r="I36" s="8">
        <v>3</v>
      </c>
      <c r="J36" s="8">
        <v>9500000</v>
      </c>
      <c r="K36" s="9">
        <v>2</v>
      </c>
    </row>
    <row r="37" spans="2:11" x14ac:dyDescent="0.2">
      <c r="B37" s="9">
        <v>33</v>
      </c>
      <c r="C37" s="9" t="s">
        <v>40</v>
      </c>
      <c r="D37" s="9">
        <v>2016</v>
      </c>
      <c r="E37" s="9" t="b">
        <v>1</v>
      </c>
      <c r="F37" s="8">
        <v>295515072</v>
      </c>
      <c r="G37" s="8">
        <v>22856019</v>
      </c>
      <c r="H37" s="8">
        <v>19000000</v>
      </c>
      <c r="I37" s="8">
        <v>3</v>
      </c>
      <c r="J37" s="8">
        <v>9500000</v>
      </c>
      <c r="K37" s="9">
        <v>2</v>
      </c>
    </row>
    <row r="38" spans="2:11" x14ac:dyDescent="0.2">
      <c r="B38" s="9">
        <v>34</v>
      </c>
      <c r="C38" s="9" t="s">
        <v>40</v>
      </c>
      <c r="D38" s="9">
        <v>2017</v>
      </c>
      <c r="E38" s="9" t="b">
        <v>1</v>
      </c>
      <c r="F38" s="8">
        <v>302840310</v>
      </c>
      <c r="G38" s="8">
        <v>15928155</v>
      </c>
      <c r="H38" s="8">
        <v>15928155</v>
      </c>
      <c r="I38" s="8">
        <v>2</v>
      </c>
      <c r="J38" s="8">
        <v>9500000</v>
      </c>
      <c r="K38" s="9">
        <v>2</v>
      </c>
    </row>
    <row r="39" spans="2:11" x14ac:dyDescent="0.2">
      <c r="B39" s="9">
        <v>35</v>
      </c>
      <c r="C39" s="9" t="s">
        <v>40</v>
      </c>
      <c r="D39" s="9">
        <v>2018</v>
      </c>
      <c r="E39" s="9" t="b">
        <v>1</v>
      </c>
      <c r="F39" s="8">
        <v>326237630</v>
      </c>
      <c r="G39" s="8">
        <v>5229956</v>
      </c>
      <c r="H39" s="8">
        <v>5229956</v>
      </c>
      <c r="I39" s="8">
        <v>1</v>
      </c>
      <c r="J39" s="8">
        <v>5229956</v>
      </c>
      <c r="K39" s="9">
        <v>2</v>
      </c>
    </row>
    <row r="40" spans="2:11" x14ac:dyDescent="0.2">
      <c r="B40" s="9">
        <v>36</v>
      </c>
      <c r="C40" s="9" t="s">
        <v>40</v>
      </c>
      <c r="D40" s="9">
        <v>2019</v>
      </c>
      <c r="E40" s="9" t="b">
        <v>1</v>
      </c>
      <c r="F40" s="8">
        <v>337890629</v>
      </c>
      <c r="G40" s="8">
        <v>0</v>
      </c>
      <c r="H40" s="8">
        <v>0</v>
      </c>
      <c r="I40" s="8">
        <v>0</v>
      </c>
      <c r="J40" s="8">
        <v>0</v>
      </c>
      <c r="K40" s="9">
        <v>2</v>
      </c>
    </row>
    <row r="41" spans="2:11" x14ac:dyDescent="0.2">
      <c r="B41" s="9">
        <v>37</v>
      </c>
      <c r="C41" s="9" t="s">
        <v>40</v>
      </c>
      <c r="D41" s="9">
        <v>2020</v>
      </c>
      <c r="E41" s="9" t="b">
        <v>1</v>
      </c>
      <c r="F41" s="8">
        <v>340932491</v>
      </c>
      <c r="G41" s="8">
        <v>18789852</v>
      </c>
      <c r="H41" s="8">
        <v>18789852</v>
      </c>
      <c r="I41" s="8">
        <v>2</v>
      </c>
      <c r="J41" s="8">
        <v>9500000</v>
      </c>
      <c r="K41" s="9">
        <v>2</v>
      </c>
    </row>
    <row r="42" spans="2:11" x14ac:dyDescent="0.2">
      <c r="B42" s="9">
        <v>38</v>
      </c>
      <c r="C42" s="9" t="s">
        <v>40</v>
      </c>
      <c r="D42" s="9">
        <v>2021</v>
      </c>
      <c r="E42" s="9" t="b">
        <v>1</v>
      </c>
      <c r="F42" s="8">
        <v>258316755</v>
      </c>
      <c r="G42" s="8">
        <v>28198501</v>
      </c>
      <c r="H42" s="8">
        <v>19000000</v>
      </c>
      <c r="I42" s="8">
        <v>2</v>
      </c>
      <c r="J42" s="8">
        <v>9500000</v>
      </c>
      <c r="K42" s="9">
        <v>2</v>
      </c>
    </row>
    <row r="43" spans="2:11" x14ac:dyDescent="0.2">
      <c r="B43" s="9">
        <v>39</v>
      </c>
      <c r="C43" s="9" t="s">
        <v>40</v>
      </c>
      <c r="D43" s="9">
        <v>2022</v>
      </c>
      <c r="E43" s="9" t="b">
        <v>1</v>
      </c>
      <c r="F43" s="8">
        <v>246059187</v>
      </c>
      <c r="G43" s="8">
        <v>9500000</v>
      </c>
      <c r="H43" s="8">
        <v>9500000</v>
      </c>
      <c r="I43" s="8">
        <v>1</v>
      </c>
      <c r="J43" s="8">
        <v>9500000</v>
      </c>
      <c r="K43" s="9">
        <v>2</v>
      </c>
    </row>
    <row r="44" spans="2:11" x14ac:dyDescent="0.2">
      <c r="B44" s="9">
        <v>40</v>
      </c>
      <c r="C44" s="9" t="s">
        <v>40</v>
      </c>
      <c r="D44" s="9">
        <v>2023</v>
      </c>
      <c r="E44" s="9" t="b">
        <v>1</v>
      </c>
      <c r="F44" s="8">
        <v>250808055</v>
      </c>
      <c r="G44" s="8">
        <v>9500000</v>
      </c>
      <c r="H44" s="8">
        <v>9500000</v>
      </c>
      <c r="I44" s="8">
        <v>1</v>
      </c>
      <c r="J44" s="8">
        <v>9500000</v>
      </c>
      <c r="K44" s="9">
        <v>2</v>
      </c>
    </row>
    <row r="45" spans="2:11" x14ac:dyDescent="0.2">
      <c r="B45" s="9">
        <v>41</v>
      </c>
      <c r="C45" s="9" t="s">
        <v>39</v>
      </c>
      <c r="D45" s="9">
        <v>2014</v>
      </c>
      <c r="E45" s="9" t="b">
        <v>1</v>
      </c>
      <c r="F45" s="8">
        <v>274643006</v>
      </c>
      <c r="G45" s="8">
        <v>147000</v>
      </c>
      <c r="H45" s="8">
        <v>147000</v>
      </c>
      <c r="I45" s="8">
        <v>1</v>
      </c>
      <c r="J45" s="8">
        <v>0</v>
      </c>
      <c r="K45" s="9">
        <v>3</v>
      </c>
    </row>
    <row r="46" spans="2:11" x14ac:dyDescent="0.2">
      <c r="B46" s="9">
        <v>42</v>
      </c>
      <c r="C46" s="9" t="s">
        <v>39</v>
      </c>
      <c r="D46" s="9">
        <v>2015</v>
      </c>
      <c r="E46" s="9" t="b">
        <v>1</v>
      </c>
      <c r="F46" s="8">
        <v>299892365</v>
      </c>
      <c r="G46" s="8">
        <v>441000</v>
      </c>
      <c r="H46" s="8">
        <v>441000</v>
      </c>
      <c r="I46" s="8">
        <v>3</v>
      </c>
      <c r="J46" s="8">
        <v>0</v>
      </c>
      <c r="K46" s="9">
        <v>3</v>
      </c>
    </row>
    <row r="47" spans="2:11" x14ac:dyDescent="0.2">
      <c r="B47" s="9">
        <v>43</v>
      </c>
      <c r="C47" s="9" t="s">
        <v>39</v>
      </c>
      <c r="D47" s="9">
        <v>2016</v>
      </c>
      <c r="E47" s="9" t="b">
        <v>1</v>
      </c>
      <c r="F47" s="8">
        <v>241669290</v>
      </c>
      <c r="G47" s="8">
        <v>441000</v>
      </c>
      <c r="H47" s="8">
        <v>441000</v>
      </c>
      <c r="I47" s="8">
        <v>3</v>
      </c>
      <c r="J47" s="8">
        <v>0</v>
      </c>
      <c r="K47" s="9">
        <v>3</v>
      </c>
    </row>
    <row r="48" spans="2:11" x14ac:dyDescent="0.2">
      <c r="B48" s="9">
        <v>44</v>
      </c>
      <c r="C48" s="9" t="s">
        <v>39</v>
      </c>
      <c r="D48" s="9">
        <v>2017</v>
      </c>
      <c r="E48" s="9" t="b">
        <v>1</v>
      </c>
      <c r="F48" s="8">
        <v>249900505</v>
      </c>
      <c r="G48" s="8">
        <v>294000</v>
      </c>
      <c r="H48" s="8">
        <v>294000</v>
      </c>
      <c r="I48" s="8">
        <v>2</v>
      </c>
      <c r="J48" s="8">
        <v>0</v>
      </c>
      <c r="K48" s="9">
        <v>3</v>
      </c>
    </row>
    <row r="49" spans="2:11" x14ac:dyDescent="0.2">
      <c r="B49" s="9">
        <v>45</v>
      </c>
      <c r="C49" s="9" t="s">
        <v>39</v>
      </c>
      <c r="D49" s="9">
        <v>2018</v>
      </c>
      <c r="E49" s="9" t="b">
        <v>1</v>
      </c>
      <c r="F49" s="8">
        <v>275282065</v>
      </c>
      <c r="G49" s="8">
        <v>147000</v>
      </c>
      <c r="H49" s="8">
        <v>147000</v>
      </c>
      <c r="I49" s="8">
        <v>1</v>
      </c>
      <c r="J49" s="8">
        <v>0</v>
      </c>
      <c r="K49" s="9">
        <v>3</v>
      </c>
    </row>
    <row r="50" spans="2:11" x14ac:dyDescent="0.2">
      <c r="B50" s="9">
        <v>46</v>
      </c>
      <c r="C50" s="9" t="s">
        <v>39</v>
      </c>
      <c r="D50" s="9">
        <v>2019</v>
      </c>
      <c r="E50" s="9" t="b">
        <v>1</v>
      </c>
      <c r="F50" s="8">
        <v>288082050</v>
      </c>
      <c r="G50" s="8">
        <v>0</v>
      </c>
      <c r="H50" s="8">
        <v>0</v>
      </c>
      <c r="I50" s="8">
        <v>0</v>
      </c>
      <c r="J50" s="8">
        <v>0</v>
      </c>
      <c r="K50" s="9">
        <v>3</v>
      </c>
    </row>
    <row r="51" spans="2:11" x14ac:dyDescent="0.2">
      <c r="B51" s="9">
        <v>47</v>
      </c>
      <c r="C51" s="9" t="s">
        <v>39</v>
      </c>
      <c r="D51" s="9">
        <v>2020</v>
      </c>
      <c r="E51" s="9" t="b">
        <v>1</v>
      </c>
      <c r="F51" s="8">
        <v>291313078</v>
      </c>
      <c r="G51" s="8">
        <v>294000</v>
      </c>
      <c r="H51" s="8">
        <v>294000</v>
      </c>
      <c r="I51" s="8">
        <v>2</v>
      </c>
      <c r="J51" s="8">
        <v>0</v>
      </c>
      <c r="K51" s="9">
        <v>3</v>
      </c>
    </row>
    <row r="52" spans="2:11" x14ac:dyDescent="0.2">
      <c r="B52" s="9">
        <v>48</v>
      </c>
      <c r="C52" s="9" t="s">
        <v>39</v>
      </c>
      <c r="D52" s="9">
        <v>2021</v>
      </c>
      <c r="E52" s="9" t="b">
        <v>1</v>
      </c>
      <c r="F52" s="8">
        <v>224837862</v>
      </c>
      <c r="G52" s="8">
        <v>441000</v>
      </c>
      <c r="H52" s="8">
        <v>441000</v>
      </c>
      <c r="I52" s="8">
        <v>3</v>
      </c>
      <c r="J52" s="8">
        <v>0</v>
      </c>
      <c r="K52" s="9">
        <v>3</v>
      </c>
    </row>
    <row r="53" spans="2:11" x14ac:dyDescent="0.2">
      <c r="B53" s="9">
        <v>49</v>
      </c>
      <c r="C53" s="9" t="s">
        <v>39</v>
      </c>
      <c r="D53" s="9">
        <v>2022</v>
      </c>
      <c r="E53" s="9" t="b">
        <v>1</v>
      </c>
      <c r="F53" s="8">
        <v>223171822</v>
      </c>
      <c r="G53" s="8">
        <v>147000</v>
      </c>
      <c r="H53" s="8">
        <v>147000</v>
      </c>
      <c r="I53" s="8">
        <v>1</v>
      </c>
      <c r="J53" s="8">
        <v>0</v>
      </c>
      <c r="K53" s="9">
        <v>3</v>
      </c>
    </row>
    <row r="54" spans="2:11" x14ac:dyDescent="0.2">
      <c r="B54" s="9">
        <v>50</v>
      </c>
      <c r="C54" s="9" t="s">
        <v>39</v>
      </c>
      <c r="D54" s="9">
        <v>2023</v>
      </c>
      <c r="E54" s="9" t="b">
        <v>1</v>
      </c>
      <c r="F54" s="8">
        <v>240000000</v>
      </c>
      <c r="G54" s="8">
        <v>147000</v>
      </c>
      <c r="H54" s="8">
        <v>147000</v>
      </c>
      <c r="I54" s="8">
        <v>1</v>
      </c>
      <c r="J54" s="8">
        <v>0</v>
      </c>
      <c r="K54" s="9">
        <v>3</v>
      </c>
    </row>
    <row r="55" spans="2:11" x14ac:dyDescent="0.2">
      <c r="B55" s="9">
        <v>51</v>
      </c>
      <c r="C55" s="9" t="s">
        <v>40</v>
      </c>
      <c r="D55" s="9">
        <v>2014</v>
      </c>
      <c r="E55" s="9" t="b">
        <v>1</v>
      </c>
      <c r="F55" s="8">
        <v>336762741</v>
      </c>
      <c r="G55" s="8">
        <v>147000</v>
      </c>
      <c r="H55" s="8">
        <v>147000</v>
      </c>
      <c r="I55" s="8">
        <v>1</v>
      </c>
      <c r="J55" s="8">
        <v>0</v>
      </c>
      <c r="K55" s="9">
        <v>3</v>
      </c>
    </row>
    <row r="56" spans="2:11" x14ac:dyDescent="0.2">
      <c r="B56" s="9">
        <v>52</v>
      </c>
      <c r="C56" s="9" t="s">
        <v>40</v>
      </c>
      <c r="D56" s="9">
        <v>2015</v>
      </c>
      <c r="E56" s="9" t="b">
        <v>1</v>
      </c>
      <c r="F56" s="8">
        <v>367551190</v>
      </c>
      <c r="G56" s="8">
        <v>441000</v>
      </c>
      <c r="H56" s="8">
        <v>441000</v>
      </c>
      <c r="I56" s="8">
        <v>3</v>
      </c>
      <c r="J56" s="8">
        <v>0</v>
      </c>
      <c r="K56" s="9">
        <v>3</v>
      </c>
    </row>
    <row r="57" spans="2:11" x14ac:dyDescent="0.2">
      <c r="B57" s="9">
        <v>53</v>
      </c>
      <c r="C57" s="9" t="s">
        <v>40</v>
      </c>
      <c r="D57" s="9">
        <v>2016</v>
      </c>
      <c r="E57" s="9" t="b">
        <v>1</v>
      </c>
      <c r="F57" s="8">
        <v>295515072</v>
      </c>
      <c r="G57" s="8">
        <v>441000</v>
      </c>
      <c r="H57" s="8">
        <v>441000</v>
      </c>
      <c r="I57" s="8">
        <v>3</v>
      </c>
      <c r="J57" s="8">
        <v>0</v>
      </c>
      <c r="K57" s="9">
        <v>3</v>
      </c>
    </row>
    <row r="58" spans="2:11" x14ac:dyDescent="0.2">
      <c r="B58" s="9">
        <v>54</v>
      </c>
      <c r="C58" s="9" t="s">
        <v>40</v>
      </c>
      <c r="D58" s="9">
        <v>2017</v>
      </c>
      <c r="E58" s="9" t="b">
        <v>1</v>
      </c>
      <c r="F58" s="8">
        <v>302840310</v>
      </c>
      <c r="G58" s="8">
        <v>294000</v>
      </c>
      <c r="H58" s="8">
        <v>294000</v>
      </c>
      <c r="I58" s="8">
        <v>2</v>
      </c>
      <c r="J58" s="8">
        <v>0</v>
      </c>
      <c r="K58" s="9">
        <v>3</v>
      </c>
    </row>
    <row r="59" spans="2:11" x14ac:dyDescent="0.2">
      <c r="B59" s="9">
        <v>55</v>
      </c>
      <c r="C59" s="9" t="s">
        <v>40</v>
      </c>
      <c r="D59" s="9">
        <v>2018</v>
      </c>
      <c r="E59" s="9" t="b">
        <v>1</v>
      </c>
      <c r="F59" s="8">
        <v>326237630</v>
      </c>
      <c r="G59" s="8">
        <v>147000</v>
      </c>
      <c r="H59" s="8">
        <v>147000</v>
      </c>
      <c r="I59" s="8">
        <v>1</v>
      </c>
      <c r="J59" s="8">
        <v>0</v>
      </c>
      <c r="K59" s="9">
        <v>3</v>
      </c>
    </row>
    <row r="60" spans="2:11" x14ac:dyDescent="0.2">
      <c r="B60" s="9">
        <v>56</v>
      </c>
      <c r="C60" s="9" t="s">
        <v>40</v>
      </c>
      <c r="D60" s="9">
        <v>2019</v>
      </c>
      <c r="E60" s="9" t="b">
        <v>1</v>
      </c>
      <c r="F60" s="8">
        <v>337890629</v>
      </c>
      <c r="G60" s="8">
        <v>0</v>
      </c>
      <c r="H60" s="8">
        <v>0</v>
      </c>
      <c r="I60" s="8">
        <v>0</v>
      </c>
      <c r="J60" s="8">
        <v>0</v>
      </c>
      <c r="K60" s="9">
        <v>3</v>
      </c>
    </row>
    <row r="61" spans="2:11" x14ac:dyDescent="0.2">
      <c r="B61" s="9">
        <v>57</v>
      </c>
      <c r="C61" s="9" t="s">
        <v>40</v>
      </c>
      <c r="D61" s="9">
        <v>2020</v>
      </c>
      <c r="E61" s="9" t="b">
        <v>1</v>
      </c>
      <c r="F61" s="8">
        <v>340932491</v>
      </c>
      <c r="G61" s="8">
        <v>294000</v>
      </c>
      <c r="H61" s="8">
        <v>294000</v>
      </c>
      <c r="I61" s="8">
        <v>2</v>
      </c>
      <c r="J61" s="8">
        <v>0</v>
      </c>
      <c r="K61" s="9">
        <v>3</v>
      </c>
    </row>
    <row r="62" spans="2:11" x14ac:dyDescent="0.2">
      <c r="B62" s="9">
        <v>58</v>
      </c>
      <c r="C62" s="9" t="s">
        <v>40</v>
      </c>
      <c r="D62" s="9">
        <v>2021</v>
      </c>
      <c r="E62" s="9" t="b">
        <v>1</v>
      </c>
      <c r="F62" s="8">
        <v>258316755</v>
      </c>
      <c r="G62" s="8">
        <v>441000</v>
      </c>
      <c r="H62" s="8">
        <v>441000</v>
      </c>
      <c r="I62" s="8">
        <v>3</v>
      </c>
      <c r="J62" s="8">
        <v>0</v>
      </c>
      <c r="K62" s="9">
        <v>3</v>
      </c>
    </row>
    <row r="63" spans="2:11" x14ac:dyDescent="0.2">
      <c r="B63" s="9">
        <v>59</v>
      </c>
      <c r="C63" s="9" t="s">
        <v>40</v>
      </c>
      <c r="D63" s="9">
        <v>2022</v>
      </c>
      <c r="E63" s="9" t="b">
        <v>1</v>
      </c>
      <c r="F63" s="8">
        <v>246059187</v>
      </c>
      <c r="G63" s="8">
        <v>147000</v>
      </c>
      <c r="H63" s="8">
        <v>147000</v>
      </c>
      <c r="I63" s="8">
        <v>1</v>
      </c>
      <c r="J63" s="8">
        <v>0</v>
      </c>
      <c r="K63" s="9">
        <v>3</v>
      </c>
    </row>
    <row r="64" spans="2:11" x14ac:dyDescent="0.2">
      <c r="B64" s="9">
        <v>60</v>
      </c>
      <c r="C64" s="9" t="s">
        <v>40</v>
      </c>
      <c r="D64" s="9">
        <v>2023</v>
      </c>
      <c r="E64" s="9" t="b">
        <v>1</v>
      </c>
      <c r="F64" s="8">
        <v>250808055</v>
      </c>
      <c r="G64" s="8">
        <v>147000</v>
      </c>
      <c r="H64" s="8">
        <v>147000</v>
      </c>
      <c r="I64" s="8">
        <v>1</v>
      </c>
      <c r="J64" s="8">
        <v>0</v>
      </c>
      <c r="K64" s="9">
        <v>3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2024-05-24T23:58:39Z</cp:lastPrinted>
  <dcterms:created xsi:type="dcterms:W3CDTF">2024-01-06T11:27:44Z</dcterms:created>
  <dcterms:modified xsi:type="dcterms:W3CDTF">2024-07-12T21:09:34Z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